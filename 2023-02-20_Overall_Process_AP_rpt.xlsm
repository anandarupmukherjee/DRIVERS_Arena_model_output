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anandarupmukherjee/Dropbox (Cambridge University)/Mac/Documents/GitHub/DRIVERS_Arena_model_output/"/>
    </mc:Choice>
  </mc:AlternateContent>
  <xr:revisionPtr revIDLastSave="0" documentId="13_ncr:1_{ED07BC70-9CDD-B146-B938-7AC6735A2358}" xr6:coauthVersionLast="47" xr6:coauthVersionMax="47" xr10:uidLastSave="{00000000-0000-0000-0000-000000000000}"/>
  <bookViews>
    <workbookView xWindow="1500" yWindow="500" windowWidth="21280" windowHeight="1236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ContinuousTimeStatsByRep!$A$1:$L$181</definedName>
    <definedName name="ExternalData_1" localSheetId="4" hidden="1">CounterStatsByRep!$A$1:$G$11</definedName>
    <definedName name="ExternalData_1" localSheetId="2" hidden="1">DiscreteTimeStatsByRep!$A$1:$K$121</definedName>
    <definedName name="ExternalData_1" localSheetId="6" hidden="1">FrequencyStatsByRep!$A$1:$J$2</definedName>
    <definedName name="ExternalData_1" localSheetId="5" hidden="1">OutputStatsByRep!$A$1:$H$111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70" r:id="rId8"/>
    <pivotCache cacheId="76" r:id="rId9"/>
    <pivotCache cacheId="82" r:id="rId10"/>
    <pivotCache cacheId="88" r:id="rId11"/>
    <pivotCache cacheId="9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P2" i="20" s="1" a="1"/>
  <c r="P2" i="20" s="1"/>
  <c r="J2" i="20" a="1"/>
  <c r="J2" i="20" s="1"/>
  <c r="M2" i="20" a="1"/>
  <c r="M2" i="20" s="1"/>
  <c r="H2" i="19"/>
  <c r="O2" i="19" s="1" a="1"/>
  <c r="O2" i="19" s="1"/>
  <c r="I2" i="19" a="1"/>
  <c r="I2" i="19" s="1"/>
  <c r="L2" i="19" a="1"/>
  <c r="L2" i="19" s="1"/>
  <c r="M2" i="18"/>
  <c r="P2" i="18" s="1" a="1"/>
  <c r="P2" i="18" s="1"/>
  <c r="N2" i="18" a="1"/>
  <c r="N2" i="18" s="1"/>
  <c r="Q2" i="18" a="1"/>
  <c r="Q2" i="18" s="1"/>
  <c r="L2" i="17"/>
  <c r="S2" i="17" s="1" a="1"/>
  <c r="S2" i="17" s="1"/>
  <c r="M2" i="17" a="1"/>
  <c r="M2" i="17" s="1"/>
  <c r="P2" i="17" a="1"/>
  <c r="P2" i="17" s="1"/>
  <c r="G2" i="16"/>
  <c r="O2" i="20" l="1" a="1"/>
  <c r="O2" i="20" s="1"/>
  <c r="L2" i="20" a="1"/>
  <c r="L2" i="20" s="1"/>
  <c r="N2" i="20" s="1"/>
  <c r="N2" i="19" a="1"/>
  <c r="N2" i="19" s="1"/>
  <c r="K2" i="19" a="1"/>
  <c r="K2" i="19" s="1"/>
  <c r="M2" i="19" s="1"/>
  <c r="T2" i="18" a="1"/>
  <c r="T2" i="18" s="1"/>
  <c r="S2" i="18" a="1"/>
  <c r="S2" i="18" s="1"/>
  <c r="X2" i="17" a="1"/>
  <c r="X2" i="17" s="1"/>
  <c r="Y2" i="17" s="1"/>
  <c r="V2" i="17" a="1"/>
  <c r="V2" i="17" s="1"/>
  <c r="U2" i="17" a="1"/>
  <c r="U2" i="17" s="1"/>
  <c r="T2" i="17" a="1"/>
  <c r="T2" i="17" s="1"/>
  <c r="K2" i="20" a="1"/>
  <c r="K2" i="20" s="1"/>
  <c r="J2" i="19" a="1"/>
  <c r="J2" i="19" s="1"/>
  <c r="R2" i="18"/>
  <c r="U2" i="18" s="1"/>
  <c r="O2" i="18" a="1"/>
  <c r="O2" i="18" s="1"/>
  <c r="R2" i="17" a="1"/>
  <c r="R2" i="17" s="1"/>
  <c r="N2" i="17" a="1"/>
  <c r="N2" i="17" s="1"/>
  <c r="O2" i="17" a="1"/>
  <c r="O2" i="17" s="1"/>
  <c r="Q2" i="17" l="1"/>
  <c r="W2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7" saveData="1">
    <dbPr connection="DRIVER=SQLite3 ODBC Driver;Database=/users/anandarupmukherjee/dropbox (cambridge university)/mac/documents/github/drivers_arena_model_output/2023-02-20_overall_process_ap.db;" command="select * from FrequencyStatsQuery"/>
  </connection>
  <connection id="2" xr16:uid="{0D0487BA-A295-4B77-80F6-D5BE4F81B0B2}" name="Connection1" type="1" refreshedVersion="7" saveData="1">
    <dbPr connection="DRIVER=SQLite3 ODBC Driver;Database=/users/anandarupmukherjee/dropbox (cambridge university)/mac/documents/github/drivers_arena_model_output/2023-02-20_overall_process_ap.db;" command="select * from ProjectQuery"/>
  </connection>
  <connection id="3" xr16:uid="{3D0C4819-CB44-4E78-BCA2-42901CC6F509}" name="Connection2" type="1" refreshedVersion="7" saveData="1">
    <dbPr connection="DRIVER=SQLite3 ODBC Driver;Database=/users/anandarupmukherjee/dropbox (cambridge university)/mac/documents/github/drivers_arena_model_output/2023-02-20_overall_process_ap.db;" command="select * from DiscreteTimeStatsQuery"/>
  </connection>
  <connection id="4" xr16:uid="{F47580D8-08D6-4B69-8DE7-1B45C3195479}" name="Connection3" type="1" refreshedVersion="7" saveData="1">
    <dbPr connection="DRIVER=SQLite3 ODBC Driver;Database=/users/anandarupmukherjee/dropbox (cambridge university)/mac/documents/github/drivers_arena_model_output/2023-02-20_overall_process_ap.db;" command="select * from ContinuousTimeStatsQuery"/>
  </connection>
  <connection id="5" xr16:uid="{FFC361A3-242A-482C-9819-1F93D48A8A8E}" name="Connection4" type="1" refreshedVersion="7" saveData="1">
    <dbPr connection="DRIVER=SQLite3 ODBC Driver;Database=/users/anandarupmukherjee/dropbox (cambridge university)/mac/documents/github/drivers_arena_model_output/2023-02-20_overall_process_ap.db;" command="select * from CounterStatsQuery"/>
  </connection>
  <connection id="6" xr16:uid="{25109672-E607-4045-8EEA-6BAAEEA2B450}" name="Connection5" type="1" refreshedVersion="7" saveData="1">
    <dbPr connection="DRIVER=SQLite3 ODBC Driver;Database=/users/anandarupmukherjee/dropbox (cambridge university)/mac/documents/github/drivers_arena_model_output/2023-02-20_overall_process_ap.db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<sst xmlns="http://schemas.openxmlformats.org/spreadsheetml/2006/main" count="173" uniqueCount="67">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</sst>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5"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oCalc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oCalc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4" formatCode="0.00%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urs' truly" refreshedDate="45006.476976504629" createdVersion="7" refreshedVersion="8" minRefreshableVersion="3" recordCount="180" xr:uid="{98BDAE34-4484-421D-B96E-804CE77A1811}">
  <cacheSource type="worksheet">
    <worksheetSource name="ContinuousStatsTable"/>
  </cacheSource>
  <cacheFields count="21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124">
        <m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NonDate="0" containsBlank="1" count="7">
        <m/>
        <s v="WIP" u="1"/>
        <s v="Number Scheduled" u="1"/>
        <s v="Number Busy" u="1"/>
        <s v="Levels" u="1"/>
        <s v="Instantaneous Utilization" u="1"/>
        <s v="Number Waiting" u="1"/>
      </sharedItems>
    </cacheField>
    <cacheField name="Source" numFmtId="0">
      <sharedItems containsNonDate="0" containsBlank="1" count="5">
        <m/>
        <s v="Queue" u="1"/>
        <s v="Resource" u="1"/>
        <s v="Entity" u="1"/>
        <s v="User Specified" u="1"/>
      </sharedItems>
    </cacheField>
    <cacheField name="Average" numFmtId="0">
      <sharedItems containsNonDate="0" containsString="0" containsBlank="1"/>
    </cacheField>
    <cacheField name="BatchMeans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  <cacheField name="LastRecordedValue" numFmtId="0">
      <sharedItems containsNonDate="0" containsString="0" containsBlank="1"/>
    </cacheField>
    <cacheField name="IsPeriodic" numFmtId="0">
      <sharedItems containsNonDate="0" containsString="0" containsBlank="1"/>
    </cacheField>
    <cacheField name="GroupByKey" numFmtId="0">
      <sharedItems containsBlank="1"/>
    </cacheField>
    <cacheField name="RepsRequested" numFmtId="0">
      <sharedItems containsString="0" containsBlank="1" containsNumber="1" containsInteger="1" minValue="0" maxValue="0"/>
    </cacheField>
    <cacheField name="AverageOfAverage" numFmtId="0">
      <sharedItems containsString="0" containsBlank="1" containsNumber="1" containsInteger="1" minValue="0" maxValue="0"/>
    </cacheField>
    <cacheField name="StDevOfAverage" numFmtId="0">
      <sharedItems containsString="0" containsBlank="1" containsNumber="1" containsInteger="1" minValue="0" maxValue="0"/>
    </cacheField>
    <cacheField name="ConfidenceInterval" numFmtId="0">
      <sharedItems containsString="0" containsBlank="1" containsNumber="1" minValue="0.95" maxValue="0.95"/>
    </cacheField>
    <cacheField name="HalfWidth" numFmtId="0">
      <sharedItems containsString="0" containsBlank="1" containsNumber="1" containsInteger="1" minValue="4E+20" maxValue="4E+20"/>
    </cacheField>
    <cacheField name="MinimumAverage" numFmtId="0">
      <sharedItems containsString="0" containsBlank="1" containsNumber="1" containsInteger="1" minValue="0" maxValue="0"/>
    </cacheField>
    <cacheField name="MaximumAverage" numFmtId="0">
      <sharedItems containsString="0" containsBlank="1" containsNumber="1" containsInteger="1" minValue="0" maxValue="0"/>
    </cacheField>
    <cacheField name="SummaryHalfWidth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urs' truly" refreshedDate="45006.476976736114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urs' truly" refreshedDate="45006.476976851853" createdVersion="7" refreshedVersion="8" minRefreshableVersion="3" recordCount="120" xr:uid="{B84A8B69-002E-494F-8DC0-5D2F7796C835}">
  <cacheSource type="worksheet">
    <worksheetSource name="DiscreteStatsTable"/>
  </cacheSource>
  <cacheFields count="2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99">
        <m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NonDate="0" containsBlank="1" count="12">
        <m/>
        <s v="Total Time Per Entity" u="1"/>
        <s v="NVA Time" u="1"/>
        <s v="VA Time Per Entity" u="1"/>
        <s v="Other Time" u="1"/>
        <s v="Wait Time Per Entity" u="1"/>
        <s v="Total Time" u="1"/>
        <s v="Transfer Time" u="1"/>
        <s v="Wait Time" u="1"/>
        <s v="VA Time" u="1"/>
        <s v="Interval" u="1"/>
        <s v="Waiting Time" u="1"/>
      </sharedItems>
    </cacheField>
    <cacheField name="Source" numFmtId="0">
      <sharedItems containsNonDate="0" containsBlank="1" count="5">
        <m/>
        <s v="Queue" u="1"/>
        <s v="Process" u="1"/>
        <s v="Entity" u="1"/>
        <s v="User Specified" u="1"/>
      </sharedItems>
    </cacheField>
    <cacheField name="Average" numFmtId="0">
      <sharedItems containsNonDate="0" containsString="0" containsBlank="1"/>
    </cacheField>
    <cacheField name="BatchMeans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  <cacheField name="NumberObservations" numFmtId="0">
      <sharedItems containsNonDate="0" containsString="0" containsBlank="1"/>
    </cacheField>
    <cacheField name="GroupByKey" numFmtId="0">
      <sharedItems containsBlank="1"/>
    </cacheField>
    <cacheField name="RepsRequested" numFmtId="0">
      <sharedItems containsString="0" containsBlank="1" containsNumber="1" containsInteger="1" minValue="0" maxValue="0"/>
    </cacheField>
    <cacheField name="AverageOfAverage" numFmtId="0">
      <sharedItems containsString="0" containsBlank="1" containsNumber="1" containsInteger="1" minValue="0" maxValue="0"/>
    </cacheField>
    <cacheField name="StDevOfAverage" numFmtId="0">
      <sharedItems containsString="0" containsBlank="1" containsNumber="1" containsInteger="1" minValue="0" maxValue="0"/>
    </cacheField>
    <cacheField name="ConfidenceInterval" numFmtId="0">
      <sharedItems containsString="0" containsBlank="1" containsNumber="1" minValue="0.95" maxValue="0.95"/>
    </cacheField>
    <cacheField name="HalfWidth" numFmtId="0">
      <sharedItems containsString="0" containsBlank="1" containsNumber="1" containsInteger="1" minValue="0" maxValue="0"/>
    </cacheField>
    <cacheField name="MinimumAverage" numFmtId="0">
      <sharedItems containsString="0" containsBlank="1" containsNumber="1" containsInteger="1" minValue="0" maxValue="0"/>
    </cacheField>
    <cacheField name="MaximumAverage" numFmtId="0">
      <sharedItems containsString="0" containsBlank="1" containsNumber="1" containsInteger="1" minValue="0" maxValue="0"/>
    </cacheField>
    <cacheField name="OverallMinimum" numFmtId="0">
      <sharedItems containsString="0" containsBlank="1" containsNumber="1" containsInteger="1" minValue="0" maxValue="0"/>
    </cacheField>
    <cacheField name="OverallMaximum" numFmtId="0">
      <sharedItems containsString="0" containsBlank="1" containsNumber="1" containsInteger="1" minValue="0" maxValue="0"/>
    </cacheField>
    <cacheField name="AverageNumberObservations" numFmtId="0">
      <sharedItems containsString="0" containsBlank="1" containsNumber="1" containsInteger="1" minValue="0" maxValue="0"/>
    </cacheField>
    <cacheField name="SummaryHalfWidth" numFmtId="0">
      <sharedItems containsString="0" containsBlank="1" containsNumber="1" containsInteger="1" minValue="0" maxValue="0"/>
    </cacheField>
    <cacheField name="RepsWithStatObserved" numFmtId="0">
      <sharedItems containsString="0" containsBlank="1" containsNumber="1" containsInteger="1" minValue="120" maxValue="120"/>
    </cacheField>
    <cacheField name="Observed=Requested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urs' truly" refreshedDate="45006.476976967591" createdVersion="7" refreshedVersion="8" minRefreshableVersion="3" recordCount="110" xr:uid="{CD99054F-849B-4F05-A210-6C45A1A34EDA}">
  <cacheSource type="worksheet">
    <worksheetSource name="OutputTable"/>
  </cacheSource>
  <cacheFields count="16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9">
        <m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System.NumberOut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NonDate="0" containsBlank="1" count="7">
        <m/>
        <s v="Number In" u="1"/>
        <s v="Scheduled Utilization" u="1"/>
        <s v="Total Number Seized" u="1"/>
        <s v="Accum VA Time" u="1"/>
        <s v="Number Out" u="1"/>
        <s v="Accum Wait Time" u="1"/>
      </sharedItems>
    </cacheField>
    <cacheField name="Source" numFmtId="0">
      <sharedItems containsNonDate="0" containsBlank="1" count="5">
        <m/>
        <s v="System" u="1"/>
        <s v="Resource" u="1"/>
        <s v="Process" u="1"/>
        <s v="Entity" u="1"/>
      </sharedItems>
    </cacheField>
    <cacheField name="RecordedValue" numFmtId="0">
      <sharedItems containsNonDate="0" containsString="0" containsBlank="1"/>
    </cacheField>
    <cacheField name="IsPeriodic" numFmtId="0">
      <sharedItems containsNonDate="0" containsString="0" containsBlank="1"/>
    </cacheField>
    <cacheField name="GroupByKey" numFmtId="0">
      <sharedItems containsBlank="1"/>
    </cacheField>
    <cacheField name="RepsRequested" numFmtId="0">
      <sharedItems containsString="0" containsBlank="1" containsNumber="1" containsInteger="1" minValue="0" maxValue="0"/>
    </cacheField>
    <cacheField name="Average" numFmtId="0">
      <sharedItems containsString="0" containsBlank="1" containsNumber="1" containsInteger="1" minValue="0" maxValue="0"/>
    </cacheField>
    <cacheField name="StandardDeviation" numFmtId="0">
      <sharedItems containsString="0" containsBlank="1" containsNumber="1" containsInteger="1" minValue="0" maxValue="0"/>
    </cacheField>
    <cacheField name="ConfidenceInterval" numFmtId="0">
      <sharedItems containsString="0" containsBlank="1" containsNumber="1" minValue="0.95" maxValue="0.95"/>
    </cacheField>
    <cacheField name="HalfWidth" numFmtId="0">
      <sharedItems containsString="0" containsBlank="1" containsNumber="1" containsInteger="1" minValue="4E+20" maxValue="4E+20"/>
    </cacheField>
    <cacheField name="Minimum" numFmtId="0">
      <sharedItems containsString="0" containsBlank="1" containsNumber="1" containsInteger="1" minValue="0" maxValue="0"/>
    </cacheField>
    <cacheField name="Maximum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urs' truly" refreshedDate="45006.47697708333" createdVersion="7" refreshedVersion="8" minRefreshableVersion="3" recordCount="10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Blank="1"/>
    </cacheField>
    <cacheField name="RepsRequested" numFmtId="0">
      <sharedItems containsString="0" containsBlank="1" containsNumber="1" containsInteger="1" minValue="0" maxValue="0"/>
    </cacheField>
    <cacheField name="Average" numFmtId="0">
      <sharedItems containsString="0" containsBlank="1" containsNumber="1" containsInteger="1" minValue="0" maxValue="0"/>
    </cacheField>
    <cacheField name="StandardDeviation" numFmtId="0">
      <sharedItems containsString="0" containsBlank="1" containsNumber="1" containsInteger="1" minValue="0" maxValue="0"/>
    </cacheField>
    <cacheField name="ConfidenceInterval" numFmtId="0">
      <sharedItems containsString="0" containsBlank="1" containsNumber="1" minValue="0.95" maxValue="0.95"/>
    </cacheField>
    <cacheField name="HalfWidth" numFmtId="0">
      <sharedItems containsString="0" containsBlank="1" containsNumber="1" containsInteger="1" minValue="4E+20" maxValue="4E+20"/>
    </cacheField>
    <cacheField name="Minimum" numFmtId="0">
      <sharedItems containsString="0" containsBlank="1" containsNumber="1" containsInteger="1" minValue="0" maxValue="0"/>
    </cacheField>
    <cacheField name="Maximum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0">
  <r>
    <x v="0"/>
    <m/>
    <m/>
    <x v="0"/>
    <x v="0"/>
    <x v="0"/>
    <m/>
    <m/>
    <m/>
    <m/>
    <m/>
    <m/>
    <s v=""/>
    <n v="0"/>
    <n v="0"/>
    <n v="0"/>
    <n v="0.95"/>
    <n v="4E+20"/>
    <n v="0"/>
    <n v="0"/>
    <n v="0"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x v="0"/>
    <m/>
    <m/>
    <x v="0"/>
    <x v="0"/>
    <x v="0"/>
    <m/>
    <m/>
    <m/>
    <m/>
    <m/>
    <s v=""/>
    <n v="0"/>
    <n v="0"/>
    <n v="0"/>
    <n v="0.95"/>
    <n v="0"/>
    <n v="0"/>
    <n v="0"/>
    <n v="0"/>
    <n v="0"/>
    <n v="0"/>
    <n v="0"/>
    <n v="120"/>
    <n v="0"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0">
  <r>
    <x v="0"/>
    <m/>
    <m/>
    <x v="0"/>
    <x v="0"/>
    <x v="0"/>
    <m/>
    <m/>
    <s v=""/>
    <n v="0"/>
    <n v="0"/>
    <n v="0"/>
    <n v="0.95"/>
    <n v="4E+20"/>
    <n v="0"/>
    <n v="0"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m/>
    <m/>
    <x v="0"/>
    <x v="0"/>
    <x v="0"/>
    <m/>
    <s v=""/>
    <n v="0"/>
    <n v="0"/>
    <n v="0"/>
    <n v="0.95"/>
    <n v="4E+20"/>
    <n v="0"/>
    <n v="0"/>
  </r>
  <r>
    <x v="0"/>
    <m/>
    <m/>
    <x v="0"/>
    <x v="0"/>
    <x v="0"/>
    <m/>
    <m/>
    <m/>
    <m/>
    <m/>
    <m/>
    <m/>
    <m/>
    <m/>
  </r>
  <r>
    <x v="0"/>
    <m/>
    <m/>
    <x v="0"/>
    <x v="0"/>
    <x v="0"/>
    <m/>
    <m/>
    <m/>
    <m/>
    <m/>
    <m/>
    <m/>
    <m/>
    <m/>
  </r>
  <r>
    <x v="0"/>
    <m/>
    <m/>
    <x v="0"/>
    <x v="0"/>
    <x v="0"/>
    <m/>
    <m/>
    <m/>
    <m/>
    <m/>
    <m/>
    <m/>
    <m/>
    <m/>
  </r>
  <r>
    <x v="0"/>
    <m/>
    <m/>
    <x v="0"/>
    <x v="0"/>
    <x v="0"/>
    <m/>
    <m/>
    <m/>
    <m/>
    <m/>
    <m/>
    <m/>
    <m/>
    <m/>
  </r>
  <r>
    <x v="0"/>
    <m/>
    <m/>
    <x v="0"/>
    <x v="0"/>
    <x v="0"/>
    <m/>
    <m/>
    <m/>
    <m/>
    <m/>
    <m/>
    <m/>
    <m/>
    <m/>
  </r>
  <r>
    <x v="0"/>
    <m/>
    <m/>
    <x v="0"/>
    <x v="0"/>
    <x v="0"/>
    <m/>
    <m/>
    <m/>
    <m/>
    <m/>
    <m/>
    <m/>
    <m/>
    <m/>
  </r>
  <r>
    <x v="0"/>
    <m/>
    <m/>
    <x v="0"/>
    <x v="0"/>
    <x v="0"/>
    <m/>
    <m/>
    <m/>
    <m/>
    <m/>
    <m/>
    <m/>
    <m/>
    <m/>
  </r>
  <r>
    <x v="0"/>
    <m/>
    <m/>
    <x v="0"/>
    <x v="0"/>
    <x v="0"/>
    <m/>
    <m/>
    <m/>
    <m/>
    <m/>
    <m/>
    <m/>
    <m/>
    <m/>
  </r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7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3" firstHeaderRow="0" firstDataRow="1" firstDataCol="4"/>
  <pivotFields count="21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4">
        <item m="1" x="15"/>
        <item m="1" x="6"/>
        <item m="1" x="22"/>
        <item m="1" x="31"/>
        <item m="1" x="44"/>
        <item m="1" x="43"/>
        <item m="1" x="7"/>
        <item m="1" x="108"/>
        <item m="1" x="86"/>
        <item m="1" x="49"/>
        <item m="1" x="36"/>
        <item m="1" x="40"/>
        <item m="1" x="122"/>
        <item m="1" x="25"/>
        <item m="1" x="107"/>
        <item m="1" x="29"/>
        <item m="1" x="80"/>
        <item m="1" x="94"/>
        <item m="1" x="4"/>
        <item m="1" x="30"/>
        <item m="1" x="117"/>
        <item m="1" x="19"/>
        <item m="1" x="109"/>
        <item m="1" x="8"/>
        <item m="1" x="35"/>
        <item m="1" x="61"/>
        <item m="1" x="5"/>
        <item m="1" x="11"/>
        <item m="1" x="81"/>
        <item m="1" x="62"/>
        <item m="1" x="96"/>
        <item m="1" x="52"/>
        <item m="1" x="16"/>
        <item m="1" x="46"/>
        <item m="1" x="82"/>
        <item m="1" x="67"/>
        <item m="1" x="17"/>
        <item m="1" x="27"/>
        <item m="1" x="89"/>
        <item m="1" x="3"/>
        <item m="1" x="116"/>
        <item m="1" x="74"/>
        <item m="1" x="14"/>
        <item m="1" x="99"/>
        <item m="1" x="45"/>
        <item m="1" x="118"/>
        <item m="1" x="79"/>
        <item m="1" x="21"/>
        <item m="1" x="66"/>
        <item m="1" x="85"/>
        <item m="1" x="98"/>
        <item m="1" x="106"/>
        <item m="1" x="115"/>
        <item m="1" x="2"/>
        <item m="1" x="20"/>
        <item m="1" x="34"/>
        <item m="1" x="23"/>
        <item m="1" x="1"/>
        <item m="1" x="95"/>
        <item m="1" x="112"/>
        <item m="1" x="38"/>
        <item m="1" x="73"/>
        <item m="1" x="26"/>
        <item m="1" x="47"/>
        <item m="1" x="32"/>
        <item m="1" x="56"/>
        <item m="1" x="41"/>
        <item m="1" x="63"/>
        <item m="1" x="48"/>
        <item m="1" x="75"/>
        <item m="1" x="57"/>
        <item m="1" x="83"/>
        <item m="1" x="64"/>
        <item m="1" x="92"/>
        <item m="1" x="76"/>
        <item m="1" x="97"/>
        <item m="1" x="84"/>
        <item m="1" x="101"/>
        <item m="1" x="113"/>
        <item m="1" x="103"/>
        <item m="1" x="87"/>
        <item m="1" x="60"/>
        <item m="1" x="39"/>
        <item m="1" x="54"/>
        <item m="1" x="18"/>
        <item m="1" x="24"/>
        <item m="1" x="33"/>
        <item m="1" x="37"/>
        <item m="1" x="69"/>
        <item m="1" x="114"/>
        <item m="1" x="104"/>
        <item m="1" x="88"/>
        <item m="1" x="55"/>
        <item m="1" x="123"/>
        <item m="1" x="71"/>
        <item m="1" x="59"/>
        <item m="1" x="91"/>
        <item m="1" x="72"/>
        <item m="1" x="51"/>
        <item m="1" x="58"/>
        <item m="1" x="12"/>
        <item m="1" x="77"/>
        <item m="1" x="93"/>
        <item m="1" x="102"/>
        <item m="1" x="110"/>
        <item m="1" x="121"/>
        <item m="1" x="9"/>
        <item m="1" x="28"/>
        <item m="1" x="120"/>
        <item m="1" x="10"/>
        <item m="1" x="78"/>
        <item m="1" x="53"/>
        <item m="1" x="68"/>
        <item m="1" x="13"/>
        <item m="1" x="119"/>
        <item m="1" x="100"/>
        <item m="1" x="50"/>
        <item m="1" x="111"/>
        <item m="1" x="70"/>
        <item m="1" x="90"/>
        <item m="1" x="105"/>
        <item m="1" x="42"/>
        <item m="1" x="65"/>
        <item x="0"/>
      </items>
    </pivotField>
    <pivotField axis="axisRow" compact="0" outline="0" showAll="0" defaultSubtotal="0">
      <items count="7">
        <item m="1" x="5"/>
        <item m="1" x="3"/>
        <item m="1" x="2"/>
        <item m="1" x="6"/>
        <item m="1" x="1"/>
        <item m="1" x="4"/>
        <item x="0"/>
      </items>
    </pivotField>
    <pivotField axis="axisRow" compact="0" outline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123"/>
      <x v="6"/>
      <x v="4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7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60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8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3" firstHeaderRow="0" firstDataRow="1" firstDataCol="4"/>
  <pivotFields count="2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9">
        <item m="1" x="10"/>
        <item m="1" x="33"/>
        <item m="1" x="5"/>
        <item m="1" x="85"/>
        <item m="1" x="68"/>
        <item m="1" x="38"/>
        <item m="1" x="94"/>
        <item m="1" x="26"/>
        <item m="1" x="30"/>
        <item m="1" x="97"/>
        <item m="1" x="63"/>
        <item m="1" x="75"/>
        <item m="1" x="80"/>
        <item m="1" x="4"/>
        <item m="1" x="32"/>
        <item m="1" x="22"/>
        <item m="1" x="98"/>
        <item m="1" x="92"/>
        <item m="1" x="20"/>
        <item m="1" x="14"/>
        <item m="1" x="86"/>
        <item m="1" x="6"/>
        <item m="1" x="39"/>
        <item m="1" x="25"/>
        <item m="1" x="50"/>
        <item m="1" x="77"/>
        <item m="1" x="41"/>
        <item m="1" x="11"/>
        <item m="1" x="35"/>
        <item m="1" x="64"/>
        <item m="1" x="54"/>
        <item m="1" x="12"/>
        <item m="1" x="71"/>
        <item m="1" x="3"/>
        <item m="1" x="91"/>
        <item m="1" x="59"/>
        <item m="1" x="79"/>
        <item m="1" x="34"/>
        <item m="1" x="93"/>
        <item m="1" x="62"/>
        <item m="1" x="16"/>
        <item m="1" x="53"/>
        <item m="1" x="67"/>
        <item m="1" x="78"/>
        <item m="1" x="84"/>
        <item m="1" x="2"/>
        <item m="1" x="15"/>
        <item m="1" x="24"/>
        <item m="1" x="17"/>
        <item m="1" x="1"/>
        <item m="1" x="76"/>
        <item m="1" x="88"/>
        <item m="1" x="28"/>
        <item m="1" x="58"/>
        <item m="1" x="19"/>
        <item m="1" x="36"/>
        <item m="1" x="23"/>
        <item m="1" x="44"/>
        <item m="1" x="31"/>
        <item m="1" x="51"/>
        <item m="1" x="37"/>
        <item m="1" x="60"/>
        <item m="1" x="45"/>
        <item m="1" x="65"/>
        <item m="1" x="52"/>
        <item m="1" x="73"/>
        <item m="1" x="66"/>
        <item m="1" x="81"/>
        <item m="1" x="89"/>
        <item m="1" x="69"/>
        <item m="1" x="48"/>
        <item m="1" x="29"/>
        <item m="1" x="42"/>
        <item m="1" x="13"/>
        <item m="1" x="18"/>
        <item m="1" x="27"/>
        <item m="1" x="55"/>
        <item m="1" x="90"/>
        <item m="1" x="83"/>
        <item m="1" x="70"/>
        <item m="1" x="43"/>
        <item m="1" x="56"/>
        <item m="1" x="47"/>
        <item m="1" x="72"/>
        <item m="1" x="57"/>
        <item m="1" x="40"/>
        <item m="1" x="46"/>
        <item m="1" x="9"/>
        <item m="1" x="49"/>
        <item m="1" x="61"/>
        <item m="1" x="74"/>
        <item m="1" x="82"/>
        <item m="1" x="87"/>
        <item m="1" x="96"/>
        <item m="1" x="7"/>
        <item m="1" x="21"/>
        <item m="1" x="95"/>
        <item m="1" x="8"/>
        <item x="0"/>
      </items>
    </pivotField>
    <pivotField axis="axisRow" compact="0" outline="0" showAll="0" defaultSubtotal="0">
      <items count="12">
        <item m="1" x="10"/>
        <item m="1" x="2"/>
        <item m="1" x="4"/>
        <item m="1" x="6"/>
        <item m="1" x="7"/>
        <item m="1" x="9"/>
        <item m="1" x="8"/>
        <item m="1" x="11"/>
        <item m="1" x="1"/>
        <item m="1" x="3"/>
        <item m="1" x="5"/>
        <item x="0"/>
      </items>
    </pivotField>
    <pivotField axis="axisRow" compact="0" outline="0" showAll="0" defaultSubtotal="0">
      <items count="5">
        <item m="1" x="3"/>
        <item m="1" x="1"/>
        <item m="1" x="4"/>
        <item m="1" x="2"/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">
    <i>
      <x v="1"/>
      <x v="98"/>
      <x v="11"/>
      <x v="4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8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3" firstHeaderRow="0" firstDataRow="1" firstDataCol="4"/>
  <pivotFields count="16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9">
        <item m="1" x="26"/>
        <item m="1" x="1"/>
        <item m="1" x="27"/>
        <item m="1" x="2"/>
        <item m="1" x="28"/>
        <item m="1" x="3"/>
        <item m="1" x="29"/>
        <item m="1" x="4"/>
        <item m="1" x="61"/>
        <item m="1" x="16"/>
        <item m="1" x="15"/>
        <item m="1" x="60"/>
        <item m="1" x="47"/>
        <item m="1" x="64"/>
        <item m="1" x="49"/>
        <item m="1" x="65"/>
        <item m="1" x="72"/>
        <item m="1" x="41"/>
        <item m="1" x="8"/>
        <item m="1" x="58"/>
        <item m="1" x="48"/>
        <item m="1" x="46"/>
        <item m="1" x="11"/>
        <item m="1" x="56"/>
        <item m="1" x="21"/>
        <item m="1" x="57"/>
        <item m="1" x="22"/>
        <item m="1" x="55"/>
        <item m="1" x="75"/>
        <item m="1" x="14"/>
        <item m="1" x="78"/>
        <item m="1" x="43"/>
        <item m="1" x="9"/>
        <item m="1" x="73"/>
        <item m="1" x="68"/>
        <item m="1" x="44"/>
        <item m="1" x="10"/>
        <item m="1" x="74"/>
        <item m="1" x="69"/>
        <item m="1" x="5"/>
        <item m="1" x="40"/>
        <item m="1" x="24"/>
        <item m="1" x="13"/>
        <item m="1" x="66"/>
        <item m="1" x="36"/>
        <item m="1" x="67"/>
        <item m="1" x="37"/>
        <item m="1" x="23"/>
        <item m="1" x="18"/>
        <item m="1" x="45"/>
        <item m="1" x="20"/>
        <item m="1" x="77"/>
        <item m="1" x="70"/>
        <item m="1" x="19"/>
        <item m="1" x="17"/>
        <item m="1" x="62"/>
        <item m="1" x="71"/>
        <item m="1" x="6"/>
        <item m="1" x="25"/>
        <item m="1" x="38"/>
        <item m="1" x="59"/>
        <item m="1" x="76"/>
        <item m="1" x="7"/>
        <item m="1" x="35"/>
        <item m="1" x="39"/>
        <item m="1" x="63"/>
        <item m="1" x="42"/>
        <item m="1" x="12"/>
        <item m="1" x="30"/>
        <item m="1" x="50"/>
        <item m="1" x="31"/>
        <item m="1" x="51"/>
        <item m="1" x="32"/>
        <item m="1" x="52"/>
        <item m="1" x="33"/>
        <item m="1" x="53"/>
        <item m="1" x="34"/>
        <item m="1" x="54"/>
        <item x="0"/>
      </items>
    </pivotField>
    <pivotField axis="axisRow" compact="0" outline="0" showAll="0" defaultSubtotal="0">
      <items count="7">
        <item m="1" x="1"/>
        <item m="1" x="5"/>
        <item m="1" x="2"/>
        <item m="1" x="3"/>
        <item m="1" x="4"/>
        <item m="1" x="6"/>
        <item x="0"/>
      </items>
    </pivotField>
    <pivotField axis="axisRow" compact="0" outline="0" showAll="0" defaultSubtotal="0">
      <items count="5">
        <item m="1" x="4"/>
        <item m="1" x="2"/>
        <item m="1" x="1"/>
        <item m="1" x="3"/>
        <item x="0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78"/>
      <x v="6"/>
      <x v="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9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21" tableType="queryTable" totalsRowShown="0">
  <autoFilter ref="A1:Y121" xr:uid="{C3D003CA-1AFF-426C-A03D-D3AF5760DF1A}"/>
  <sortState xmlns:xlrd2="http://schemas.microsoft.com/office/spreadsheetml/2017/richdata2" ref="A2:Y121">
    <sortCondition ref="D1:D12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48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47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46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45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44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43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42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41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40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39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38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37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36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35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81" tableType="queryTable" totalsRowShown="0">
  <autoFilter ref="A1:U18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27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26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25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24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23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22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21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20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19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11" tableType="queryTable" totalsRowShown="0">
  <autoFilter ref="A1:O1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16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15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14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12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11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11" tableType="queryTable" totalsRowShown="0">
  <autoFilter ref="A1:P11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8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7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6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4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2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1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baseColWidth="10" defaultColWidth="8.83203125" defaultRowHeight="15" x14ac:dyDescent="0.2"/>
  <cols>
    <col min="1" max="1" width="14.1640625" bestFit="1" customWidth="1"/>
    <col min="2" max="2" width="77" bestFit="1" customWidth="1"/>
    <col min="3" max="3" width="18.1640625" bestFit="1" customWidth="1"/>
    <col min="4" max="4" width="11.6640625" bestFit="1" customWidth="1"/>
    <col min="5" max="5" width="22.5" bestFit="1" customWidth="1"/>
    <col min="6" max="6" width="24.1640625" bestFit="1" customWidth="1"/>
    <col min="7" max="10" width="19.5" bestFit="1" customWidth="1"/>
    <col min="11" max="11" width="19.5" customWidth="1"/>
  </cols>
  <sheetData>
    <row r="1" spans="1:7" x14ac:dyDescent="0.2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">
      <c r="G2">
        <f>0.95</f>
        <v>0.95</v>
      </c>
    </row>
  </sheetData>
  <phoneticPr fontId="2" type="noConversion"/>
  <conditionalFormatting sqref="D2">
    <cfRule type="expression" dxfId="74" priority="1">
      <formula>D2=3</formula>
    </cfRule>
    <cfRule type="expression" dxfId="73" priority="2">
      <formula>D2=2</formula>
    </cfRule>
    <cfRule type="expression" dxfId="72" priority="3">
      <formula>D2=1</formula>
    </cfRule>
    <cfRule type="expression" dxfId="71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3"/>
  <sheetViews>
    <sheetView tabSelected="1" workbookViewId="0">
      <selection activeCell="E12" sqref="E12"/>
    </sheetView>
  </sheetViews>
  <sheetFormatPr baseColWidth="10" defaultColWidth="8.83203125" defaultRowHeight="15" x14ac:dyDescent="0.2"/>
  <cols>
    <col min="1" max="1" width="33.1640625" customWidth="1"/>
    <col min="2" max="2" width="28.6640625" bestFit="1" customWidth="1"/>
    <col min="3" max="3" width="12.5" bestFit="1" customWidth="1"/>
    <col min="4" max="4" width="9" bestFit="1" customWidth="1"/>
    <col min="5" max="5" width="26.33203125" bestFit="1" customWidth="1"/>
    <col min="6" max="6" width="18.1640625" bestFit="1" customWidth="1"/>
    <col min="7" max="7" width="9.5" bestFit="1" customWidth="1"/>
    <col min="8" max="8" width="24.5" bestFit="1" customWidth="1"/>
    <col min="9" max="9" width="25" bestFit="1" customWidth="1"/>
    <col min="10" max="10" width="25.1640625" bestFit="1" customWidth="1"/>
    <col min="11" max="11" width="15" bestFit="1" customWidth="1"/>
    <col min="12" max="12" width="15.1640625" bestFit="1" customWidth="1"/>
    <col min="13" max="13" width="27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" bestFit="1" customWidth="1"/>
    <col min="18" max="18" width="9" bestFit="1" customWidth="1"/>
    <col min="19" max="19" width="26.33203125" bestFit="1" customWidth="1"/>
    <col min="20" max="20" width="9.5" bestFit="1" customWidth="1"/>
    <col min="21" max="21" width="24.5" bestFit="1" customWidth="1"/>
    <col min="22" max="22" width="20.33203125" bestFit="1" customWidth="1"/>
    <col min="23" max="23" width="20.5" bestFit="1" customWidth="1"/>
    <col min="24" max="24" width="15" bestFit="1" customWidth="1"/>
    <col min="25" max="25" width="15.164062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9" bestFit="1" customWidth="1"/>
    <col min="31" max="31" width="23" bestFit="1" customWidth="1"/>
    <col min="32" max="32" width="9.5" bestFit="1" customWidth="1"/>
    <col min="33" max="33" width="27.1640625" bestFit="1" customWidth="1"/>
    <col min="34" max="34" width="18.5" bestFit="1" customWidth="1"/>
    <col min="35" max="35" width="18.6640625" bestFit="1" customWidth="1"/>
    <col min="36" max="36" width="19.832031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3" bestFit="1" customWidth="1"/>
    <col min="42" max="42" width="9.5" bestFit="1" customWidth="1"/>
    <col min="43" max="43" width="27.1640625" bestFit="1" customWidth="1"/>
    <col min="44" max="44" width="18.5" bestFit="1" customWidth="1"/>
    <col min="45" max="45" width="18.6640625" bestFit="1" customWidth="1"/>
    <col min="46" max="46" width="19.83203125" bestFit="1" customWidth="1"/>
    <col min="47" max="47" width="14.83203125" bestFit="1" customWidth="1"/>
    <col min="48" max="48" width="20.6640625" bestFit="1" customWidth="1"/>
    <col min="49" max="49" width="26.33203125" bestFit="1" customWidth="1"/>
    <col min="50" max="50" width="9" bestFit="1" customWidth="1"/>
    <col min="51" max="51" width="24.1640625" bestFit="1" customWidth="1"/>
    <col min="52" max="52" width="25.33203125" bestFit="1" customWidth="1"/>
    <col min="53" max="53" width="27" bestFit="1" customWidth="1"/>
    <col min="54" max="54" width="24.83203125" bestFit="1" customWidth="1"/>
    <col min="55" max="55" width="29.1640625" bestFit="1" customWidth="1"/>
    <col min="56" max="56" width="31.83203125" bestFit="1" customWidth="1"/>
    <col min="57" max="57" width="21.83203125" bestFit="1" customWidth="1"/>
  </cols>
  <sheetData>
    <row r="1" spans="1:52" ht="19" x14ac:dyDescent="0.2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">
      <c r="A3" t="s">
        <v>65</v>
      </c>
      <c r="B3" t="s">
        <v>65</v>
      </c>
      <c r="C3" t="s">
        <v>65</v>
      </c>
      <c r="D3" t="s">
        <v>65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/>
      <c r="L3" s="5"/>
      <c r="M3" s="5">
        <v>0</v>
      </c>
      <c r="O3" t="s">
        <v>65</v>
      </c>
      <c r="P3" t="s">
        <v>65</v>
      </c>
      <c r="Q3" t="s">
        <v>65</v>
      </c>
      <c r="R3" t="s">
        <v>65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/>
      <c r="Y3" s="5"/>
      <c r="AA3" t="s">
        <v>65</v>
      </c>
      <c r="AB3" t="s">
        <v>65</v>
      </c>
      <c r="AC3" t="s">
        <v>65</v>
      </c>
      <c r="AD3" t="s">
        <v>65</v>
      </c>
      <c r="AE3" s="5">
        <v>0</v>
      </c>
      <c r="AF3" s="5">
        <v>4E+20</v>
      </c>
      <c r="AG3" s="5">
        <v>0</v>
      </c>
      <c r="AH3" s="5">
        <v>0</v>
      </c>
      <c r="AI3" s="5">
        <v>0</v>
      </c>
      <c r="AK3" t="s">
        <v>65</v>
      </c>
      <c r="AL3" t="s">
        <v>65</v>
      </c>
      <c r="AM3" t="s">
        <v>65</v>
      </c>
      <c r="AN3" t="s">
        <v>65</v>
      </c>
      <c r="AO3" s="5">
        <v>0</v>
      </c>
      <c r="AP3" s="5">
        <v>4E+20</v>
      </c>
      <c r="AQ3" s="5">
        <v>0</v>
      </c>
      <c r="AR3" s="5">
        <v>0</v>
      </c>
      <c r="AS3" s="5">
        <v>0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</sheetData>
  <dataConsolidate/>
  <conditionalFormatting pivot="1" sqref="G3">
    <cfRule type="expression" dxfId="70" priority="10">
      <formula>G3=200000000000000000000</formula>
    </cfRule>
  </conditionalFormatting>
  <conditionalFormatting pivot="1" sqref="T3">
    <cfRule type="expression" dxfId="69" priority="9">
      <formula>T3=200000000000000000000</formula>
    </cfRule>
  </conditionalFormatting>
  <conditionalFormatting pivot="1" sqref="T3">
    <cfRule type="expression" dxfId="68" priority="8">
      <formula>T3=300000000000000000000</formula>
    </cfRule>
  </conditionalFormatting>
  <conditionalFormatting pivot="1" sqref="G3">
    <cfRule type="expression" dxfId="67" priority="7">
      <formula>G3=300000000000000000000</formula>
    </cfRule>
  </conditionalFormatting>
  <conditionalFormatting pivot="1" sqref="F3">
    <cfRule type="expression" dxfId="66" priority="6">
      <formula>F3=0</formula>
    </cfRule>
  </conditionalFormatting>
  <conditionalFormatting pivot="1" sqref="F3">
    <cfRule type="expression" dxfId="65" priority="5">
      <formula>F3=1</formula>
    </cfRule>
  </conditionalFormatting>
  <conditionalFormatting pivot="1" sqref="T3">
    <cfRule type="expression" dxfId="64" priority="4">
      <formula>T3=400000000000000000000</formula>
    </cfRule>
  </conditionalFormatting>
  <conditionalFormatting pivot="1" sqref="AP3">
    <cfRule type="expression" dxfId="63" priority="3">
      <formula>AP3=400000000000000000000</formula>
    </cfRule>
  </conditionalFormatting>
  <conditionalFormatting pivot="1" sqref="AF3">
    <cfRule type="expression" dxfId="62" priority="2">
      <formula>AF3=400000000000000000000</formula>
    </cfRule>
  </conditionalFormatting>
  <conditionalFormatting pivot="1" sqref="G3">
    <cfRule type="expression" dxfId="61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"/>
  <sheetViews>
    <sheetView workbookViewId="0">
      <selection activeCell="K2" sqref="K2"/>
    </sheetView>
  </sheetViews>
  <sheetFormatPr baseColWidth="10" defaultColWidth="8.83203125" defaultRowHeight="15" x14ac:dyDescent="0.2"/>
  <cols>
    <col min="1" max="1" width="14.1640625" bestFit="1" customWidth="1"/>
    <col min="2" max="2" width="21.1640625" bestFit="1" customWidth="1"/>
    <col min="3" max="3" width="12.5" bestFit="1" customWidth="1"/>
    <col min="4" max="4" width="21.1640625" bestFit="1" customWidth="1"/>
    <col min="5" max="5" width="12.1640625" bestFit="1" customWidth="1"/>
    <col min="6" max="6" width="12.5" bestFit="1" customWidth="1"/>
    <col min="7" max="7" width="12" bestFit="1" customWidth="1"/>
    <col min="8" max="8" width="22.33203125" bestFit="1" customWidth="1"/>
    <col min="9" max="10" width="12" bestFit="1" customWidth="1"/>
    <col min="11" max="11" width="21.33203125" bestFit="1" customWidth="1"/>
    <col min="12" max="12" width="49.1640625" bestFit="1" customWidth="1"/>
    <col min="13" max="13" width="16.1640625" bestFit="1" customWidth="1"/>
    <col min="14" max="14" width="19.1640625" customWidth="1"/>
    <col min="15" max="15" width="17.1640625" bestFit="1" customWidth="1"/>
    <col min="16" max="16" width="19.5" bestFit="1" customWidth="1"/>
    <col min="17" max="17" width="12" bestFit="1" customWidth="1"/>
    <col min="18" max="18" width="18.5" bestFit="1" customWidth="1"/>
    <col min="19" max="19" width="18.83203125" customWidth="1"/>
    <col min="20" max="20" width="17.5" customWidth="1"/>
    <col min="21" max="21" width="17.83203125" customWidth="1"/>
    <col min="22" max="22" width="28.5" bestFit="1" customWidth="1"/>
    <col min="23" max="23" width="20" bestFit="1" customWidth="1"/>
    <col min="24" max="24" width="22.83203125" bestFit="1" customWidth="1"/>
    <col min="25" max="25" width="21.33203125" bestFit="1" customWidth="1"/>
  </cols>
  <sheetData>
    <row r="1" spans="1:25" x14ac:dyDescent="0.2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">
      <c r="L2" t="str">
        <f>DiscreteStatsTable[[#This Row],[ProjectName]]&amp;DiscreteStatsTable[[#This Row],[Name]]&amp;DiscreteStatsTable[[#This Row],[Type]]&amp;DiscreteStatsTable[[#This Row],[Source]]</f>
        <v/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0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120</v>
      </c>
      <c r="Y2">
        <f>IF(DiscreteStatsTable[[#This Row],[RepsRequested]]=DiscreteStatsTable[[#This Row],[RepsWithStatObserved]],1,0)</f>
        <v>0</v>
      </c>
    </row>
  </sheetData>
  <phoneticPr fontId="2" type="noConversion"/>
  <conditionalFormatting sqref="H2:H121">
    <cfRule type="expression" dxfId="59" priority="23">
      <formula>H2=200000000000000000000</formula>
    </cfRule>
  </conditionalFormatting>
  <conditionalFormatting sqref="H2:H121">
    <cfRule type="expression" dxfId="58" priority="21">
      <formula>H2=300000000000000000000</formula>
    </cfRule>
  </conditionalFormatting>
  <conditionalFormatting sqref="L2:Y121">
    <cfRule type="expression" dxfId="57" priority="19">
      <formula>MOD(ROW(),2)=0</formula>
    </cfRule>
  </conditionalFormatting>
  <conditionalFormatting sqref="Y2:Y121">
    <cfRule type="expression" dxfId="56" priority="14">
      <formula>Y2=0</formula>
    </cfRule>
    <cfRule type="expression" dxfId="55" priority="16">
      <formula>Y2=1</formula>
    </cfRule>
  </conditionalFormatting>
  <conditionalFormatting sqref="Y3:Y121">
    <cfRule type="expression" dxfId="54" priority="15">
      <formula>Y3=1</formula>
    </cfRule>
  </conditionalFormatting>
  <conditionalFormatting sqref="W2:W121">
    <cfRule type="expression" dxfId="53" priority="7">
      <formula>W2=200000000000000000000</formula>
    </cfRule>
    <cfRule type="expression" dxfId="52" priority="6">
      <formula>W2=300000000000000000000</formula>
    </cfRule>
  </conditionalFormatting>
  <conditionalFormatting sqref="Q2:Q121">
    <cfRule type="expression" dxfId="51" priority="5">
      <formula>Q2=200000000000000000000</formula>
    </cfRule>
  </conditionalFormatting>
  <conditionalFormatting sqref="Q2:Q121">
    <cfRule type="expression" dxfId="50" priority="2">
      <formula>Q2=400000000000000000000</formula>
    </cfRule>
  </conditionalFormatting>
  <conditionalFormatting sqref="W2:W121">
    <cfRule type="expression" dxfId="49" priority="1">
      <formula>W2=400000000000000000000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"/>
  <sheetViews>
    <sheetView workbookViewId="0">
      <selection activeCell="D2" sqref="D2"/>
    </sheetView>
  </sheetViews>
  <sheetFormatPr baseColWidth="10" defaultColWidth="8.83203125" defaultRowHeight="15" x14ac:dyDescent="0.2"/>
  <cols>
    <col min="1" max="1" width="14.1640625" bestFit="1" customWidth="1"/>
    <col min="2" max="2" width="21.1640625" bestFit="1" customWidth="1"/>
    <col min="3" max="3" width="12.5" bestFit="1" customWidth="1"/>
    <col min="4" max="4" width="21.1640625" bestFit="1" customWidth="1"/>
    <col min="5" max="5" width="21.6640625" bestFit="1" customWidth="1"/>
    <col min="6" max="6" width="9" bestFit="1" customWidth="1"/>
    <col min="7" max="7" width="12" bestFit="1" customWidth="1"/>
    <col min="8" max="8" width="22.33203125" bestFit="1" customWidth="1"/>
    <col min="9" max="9" width="11.5" bestFit="1" customWidth="1"/>
    <col min="10" max="10" width="11.83203125" bestFit="1" customWidth="1"/>
    <col min="11" max="11" width="19.5" bestFit="1" customWidth="1"/>
    <col min="12" max="12" width="11.33203125" bestFit="1" customWidth="1"/>
    <col min="13" max="13" width="51.83203125" bestFit="1" customWidth="1"/>
    <col min="14" max="14" width="16.1640625" bestFit="1" customWidth="1"/>
    <col min="15" max="15" width="19.1640625" bestFit="1" customWidth="1"/>
    <col min="16" max="16" width="17.1640625" bestFit="1" customWidth="1"/>
    <col min="17" max="17" width="19.5" bestFit="1" customWidth="1"/>
    <col min="18" max="18" width="12" bestFit="1" customWidth="1"/>
    <col min="19" max="19" width="18.5" bestFit="1" customWidth="1"/>
    <col min="20" max="20" width="18.83203125" bestFit="1" customWidth="1"/>
    <col min="21" max="22" width="20" bestFit="1" customWidth="1"/>
  </cols>
  <sheetData>
    <row r="1" spans="1:21" x14ac:dyDescent="0.2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">
      <c r="M2" t="str">
        <f>ContinuousStatsTable[[#This Row],[ProjectName]]&amp;ContinuousStatsTable[[#This Row],[Name]]&amp;ContinuousStatsTable[[#This Row],[Type]]&amp;ContinuousStatsTable[[#This Row],[Source]]</f>
        <v/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</v>
      </c>
      <c r="U2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181">
    <cfRule type="expression" dxfId="34" priority="9">
      <formula>H2=200000000000000000000</formula>
    </cfRule>
  </conditionalFormatting>
  <conditionalFormatting sqref="H2:H181">
    <cfRule type="expression" dxfId="33" priority="7">
      <formula>H2=300000000000000000000</formula>
    </cfRule>
  </conditionalFormatting>
  <conditionalFormatting sqref="M2:U181">
    <cfRule type="expression" dxfId="32" priority="5">
      <formula>MOD(ROW(),2)=0</formula>
    </cfRule>
  </conditionalFormatting>
  <conditionalFormatting sqref="U2:U181">
    <cfRule type="expression" dxfId="31" priority="4">
      <formula>U2=300000000000000000000</formula>
    </cfRule>
    <cfRule type="expression" dxfId="30" priority="3">
      <formula>U2=200000000000000000000</formula>
    </cfRule>
  </conditionalFormatting>
  <conditionalFormatting sqref="R2:R181">
    <cfRule type="expression" dxfId="29" priority="2">
      <formula>R2=400000000000000000000</formula>
    </cfRule>
  </conditionalFormatting>
  <conditionalFormatting sqref="U2:U181">
    <cfRule type="expression" dxfId="28" priority="1">
      <formula>U2=400000000000000000000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2"/>
  <sheetViews>
    <sheetView workbookViewId="0">
      <selection activeCell="G2" sqref="G2"/>
    </sheetView>
  </sheetViews>
  <sheetFormatPr baseColWidth="10" defaultColWidth="8.83203125" defaultRowHeight="15" x14ac:dyDescent="0.2"/>
  <cols>
    <col min="1" max="1" width="14.1640625" bestFit="1" customWidth="1"/>
    <col min="2" max="2" width="21.1640625" bestFit="1" customWidth="1"/>
    <col min="3" max="3" width="12.5" bestFit="1" customWidth="1"/>
    <col min="4" max="4" width="13.5" bestFit="1" customWidth="1"/>
    <col min="5" max="5" width="7.33203125" bestFit="1" customWidth="1"/>
    <col min="6" max="6" width="12.5" bestFit="1" customWidth="1"/>
    <col min="7" max="7" width="16.1640625" bestFit="1" customWidth="1"/>
    <col min="8" max="8" width="42.1640625" bestFit="1" customWidth="1"/>
    <col min="9" max="9" width="16.1640625" bestFit="1" customWidth="1"/>
    <col min="10" max="10" width="10.1640625" bestFit="1" customWidth="1"/>
    <col min="11" max="11" width="19" bestFit="1" customWidth="1"/>
    <col min="12" max="12" width="19.5" bestFit="1" customWidth="1"/>
    <col min="13" max="13" width="12" bestFit="1" customWidth="1"/>
    <col min="14" max="14" width="11.5" bestFit="1" customWidth="1"/>
    <col min="15" max="15" width="11.83203125" bestFit="1" customWidth="1"/>
  </cols>
  <sheetData>
    <row r="1" spans="1:15" x14ac:dyDescent="0.2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2">
      <c r="H2" t="str">
        <f>CountersTable[[#This Row],[ProjectName]]&amp;CountersTable[[#This Row],[Name]]&amp;CountersTable[[#This Row],[Type]]&amp;CountersTable[[#This Row],[Source]]</f>
        <v/>
      </c>
      <c r="I2" cm="1">
        <f t="array" ref="I2">MAX(IF((ProjectInfoTable[ProjectName]=CountersTable[[#This Row],[ProjectName]]),(ProjectInfoTable[ProjectName]=CountersTable[[#This Row],[ProjectName]])*ProjectInfoTable[NumberOfReplications]))</f>
        <v>0</v>
      </c>
      <c r="J2" cm="1">
        <f t="array" ref="J2">IFERROR(AVERAGE(IF((CountersTable[GroupByKey]=CountersTable[[#This Row],[GroupByKey]]),(CountersTable[GroupByKey]=CountersTable[[#This Row],[GroupByKey]])*CountersTable[RecordedValue])),0)</f>
        <v>0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0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4E+20</v>
      </c>
      <c r="N2" cm="1">
        <f t="array" ref="N2">MIN(IF((CountersTable[GroupByKey]=CountersTable[[#This Row],[GroupByKey]]),(CountersTable[GroupByKey]=CountersTable[[#This Row],[GroupByKey]])*CountersTable[RecordedValue]))</f>
        <v>0</v>
      </c>
      <c r="O2" cm="1">
        <f t="array" ref="O2">MAX(IF((CountersTable[GroupByKey]=CountersTable[[#This Row],[GroupByKey]]),(CountersTable[GroupByKey]=CountersTable[[#This Row],[GroupByKey]])*CountersTable[RecordedValue]))</f>
        <v>0</v>
      </c>
    </row>
  </sheetData>
  <phoneticPr fontId="2" type="noConversion"/>
  <conditionalFormatting sqref="H2:O11">
    <cfRule type="expression" dxfId="18" priority="2">
      <formula>MOD(ROW(),2)=0</formula>
    </cfRule>
  </conditionalFormatting>
  <conditionalFormatting sqref="M2:M11">
    <cfRule type="expression" dxfId="17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"/>
  <sheetViews>
    <sheetView workbookViewId="0">
      <selection activeCell="H2" sqref="H2"/>
    </sheetView>
  </sheetViews>
  <sheetFormatPr baseColWidth="10" defaultColWidth="8.83203125" defaultRowHeight="15" x14ac:dyDescent="0.2"/>
  <cols>
    <col min="1" max="1" width="14.1640625" bestFit="1" customWidth="1"/>
    <col min="2" max="2" width="21.1640625" bestFit="1" customWidth="1"/>
    <col min="3" max="3" width="12.5" bestFit="1" customWidth="1"/>
    <col min="4" max="4" width="27.5" bestFit="1" customWidth="1"/>
    <col min="5" max="5" width="18.1640625" bestFit="1" customWidth="1"/>
    <col min="6" max="6" width="9" bestFit="1" customWidth="1"/>
    <col min="7" max="7" width="16.1640625" bestFit="1" customWidth="1"/>
    <col min="8" max="8" width="11.33203125" bestFit="1" customWidth="1"/>
    <col min="9" max="9" width="64.33203125" bestFit="1" customWidth="1"/>
    <col min="10" max="10" width="16.1640625" bestFit="1" customWidth="1"/>
    <col min="11" max="11" width="12" customWidth="1"/>
    <col min="12" max="12" width="19" bestFit="1" customWidth="1"/>
    <col min="13" max="13" width="19.5" bestFit="1" customWidth="1"/>
    <col min="14" max="16" width="12" bestFit="1" customWidth="1"/>
  </cols>
  <sheetData>
    <row r="1" spans="1:16" x14ac:dyDescent="0.2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">
      <c r="I2" t="str">
        <f>OutputTable[[#This Row],[ProjectName]]&amp;OutputTable[[#This Row],[Name]]&amp;OutputTable[[#This Row],[Type]]&amp;OutputTable[[#This Row],[Source]]</f>
        <v/>
      </c>
      <c r="J2" cm="1">
        <f t="array" ref="J2">MAX(IF((ProjectInfoTable[ProjectName]=OutputTable[[#This Row],[ProjectName]]),(ProjectInfoTable[ProjectName]=OutputTable[[#This Row],[ProjectName]])*ProjectInfoTable[NumberOfReplications]))</f>
        <v>0</v>
      </c>
      <c r="K2" cm="1">
        <f t="array" ref="K2">IFERROR(AVERAGE(IF((OutputTable[GroupByKey]=OutputTable[[#This Row],[GroupByKey]]),(OutputTable[GroupByKey]=OutputTable[[#This Row],[GroupByKey]])*OutputTable[RecordedValue])),0)</f>
        <v>0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0</v>
      </c>
      <c r="P2" cm="1">
        <f t="array" ref="P2">MAX(IF((OutputTable[GroupByKey]=OutputTable[[#This Row],[GroupByKey]]),(OutputTable[GroupByKey]=OutputTable[[#This Row],[GroupByKey]])*OutputTable[RecordedValue]))</f>
        <v>0</v>
      </c>
    </row>
  </sheetData>
  <phoneticPr fontId="2" type="noConversion"/>
  <conditionalFormatting sqref="I2:P111">
    <cfRule type="expression" dxfId="10" priority="2">
      <formula>MOD(ROW(),2)=0</formula>
    </cfRule>
  </conditionalFormatting>
  <conditionalFormatting sqref="N2:N11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4.1640625" bestFit="1" customWidth="1"/>
    <col min="2" max="2" width="21.1640625" bestFit="1" customWidth="1"/>
    <col min="3" max="3" width="12.5" bestFit="1" customWidth="1"/>
    <col min="4" max="4" width="8.1640625" bestFit="1" customWidth="1"/>
    <col min="5" max="5" width="10.83203125" bestFit="1" customWidth="1"/>
    <col min="6" max="6" width="9" bestFit="1" customWidth="1"/>
    <col min="7" max="7" width="20.5" bestFit="1" customWidth="1"/>
    <col min="8" max="8" width="21.1640625" bestFit="1" customWidth="1"/>
    <col min="9" max="9" width="23.83203125" bestFit="1" customWidth="1"/>
    <col min="10" max="10" width="25" bestFit="1" customWidth="1"/>
    <col min="11" max="11" width="13.6640625" bestFit="1" customWidth="1"/>
    <col min="12" max="12" width="28.83203125" bestFit="1" customWidth="1"/>
    <col min="13" max="13" width="29.5" bestFit="1" customWidth="1"/>
    <col min="14" max="14" width="16.1640625" bestFit="1" customWidth="1"/>
    <col min="15" max="15" width="27.6640625" bestFit="1" customWidth="1"/>
    <col min="16" max="16" width="28.33203125" bestFit="1" customWidth="1"/>
    <col min="17" max="17" width="29.1640625" bestFit="1" customWidth="1"/>
    <col min="18" max="18" width="28.33203125" bestFit="1" customWidth="1"/>
    <col min="19" max="19" width="26.1640625" bestFit="1" customWidth="1"/>
    <col min="20" max="20" width="29.83203125" bestFit="1" customWidth="1"/>
    <col min="21" max="21" width="31.83203125" bestFit="1" customWidth="1"/>
    <col min="22" max="22" width="32.1640625" bestFit="1" customWidth="1"/>
  </cols>
  <sheetData>
    <row r="1" spans="1:16" x14ac:dyDescent="0.2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2">
      <c r="B17" s="3"/>
    </row>
    <row r="18" spans="2:2" x14ac:dyDescent="0.2">
      <c r="B18" s="3"/>
    </row>
    <row r="19" spans="2:2" x14ac:dyDescent="0.2">
      <c r="B19" s="3"/>
    </row>
    <row r="20" spans="2:2" x14ac:dyDescent="0.2">
      <c r="B20" s="3"/>
    </row>
    <row r="21" spans="2:2" x14ac:dyDescent="0.2">
      <c r="B21" s="3"/>
    </row>
    <row r="22" spans="2:2" x14ac:dyDescent="0.2">
      <c r="B22" s="3"/>
    </row>
    <row r="23" spans="2:2" x14ac:dyDescent="0.2">
      <c r="B23" s="3"/>
    </row>
    <row r="24" spans="2:2" x14ac:dyDescent="0.2">
      <c r="B24" s="3"/>
    </row>
    <row r="25" spans="2:2" x14ac:dyDescent="0.2">
      <c r="B25" s="3"/>
    </row>
    <row r="26" spans="2:2" x14ac:dyDescent="0.2">
      <c r="B26" s="3"/>
    </row>
    <row r="27" spans="2:2" x14ac:dyDescent="0.2">
      <c r="B27" s="3"/>
    </row>
    <row r="28" spans="2:2" x14ac:dyDescent="0.2">
      <c r="B28" s="3"/>
    </row>
    <row r="29" spans="2:2" x14ac:dyDescent="0.2">
      <c r="B29" s="3"/>
    </row>
    <row r="30" spans="2:2" x14ac:dyDescent="0.2">
      <c r="B30" s="3"/>
    </row>
    <row r="31" spans="2:2" x14ac:dyDescent="0.2">
      <c r="B31" s="3"/>
    </row>
  </sheetData>
  <phoneticPr fontId="2" type="noConversion"/>
  <conditionalFormatting sqref="K1:P2 K17:P17 Q45:V45 K31:V31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Yours' truly</cp:lastModifiedBy>
  <cp:lastPrinted>2022-03-22T10:33:10Z</cp:lastPrinted>
  <dcterms:created xsi:type="dcterms:W3CDTF">2020-06-29T21:30:31Z</dcterms:created>
  <dcterms:modified xsi:type="dcterms:W3CDTF">2023-03-21T11:26:50Z</dcterms:modified>
</cp:coreProperties>
</file>